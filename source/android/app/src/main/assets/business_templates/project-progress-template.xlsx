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Height="17205"/>
  </bookViews>
  <sheets>
    <sheet name="项目进度表" sheetId="2" r:id="rId1"/>
    <sheet name="评分模型" sheetId="3" r:id="rId2"/>
    <sheet name="最优方案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<sst xmlns="http://schemas.openxmlformats.org/spreadsheetml/2006/main" count="91" uniqueCount="89">
  <si>
    <t>改性材料项目进度跟踪与最优方案 · 项目优先级表</t>
  </si>
  <si>
    <t>行业</t>
  </si>
  <si>
    <t>客户名称</t>
  </si>
  <si>
    <t>材料</t>
  </si>
  <si>
    <t>推荐牌号</t>
  </si>
  <si>
    <t>材料价值</t>
  </si>
  <si>
    <t>颜色</t>
  </si>
  <si>
    <t>竞争对手</t>
  </si>
  <si>
    <t>产品名称</t>
  </si>
  <si>
    <t>项目进度(阶段代码)</t>
  </si>
  <si>
    <t>项目阶段(自动)</t>
  </si>
  <si>
    <t>下一步动作(建议)</t>
  </si>
  <si>
    <t>时间节点</t>
  </si>
  <si>
    <t>备注</t>
  </si>
  <si>
    <t>项目优先级评分模型（四维合计100分，权重可调，修改即全表联动）</t>
  </si>
  <si>
    <t>一、项目阶段定义与得分（代码→阶段→得分）</t>
  </si>
  <si>
    <t>二、客户战略价值得分</t>
  </si>
  <si>
    <t>三、竞争态势得分</t>
  </si>
  <si>
    <t>四、材料价值得分</t>
  </si>
  <si>
    <t>五、档位划分与资源策略</t>
  </si>
  <si>
    <t>阶段代码</t>
  </si>
  <si>
    <t>阶段名称</t>
  </si>
  <si>
    <t>阶段说明</t>
  </si>
  <si>
    <t>阶段得分</t>
  </si>
  <si>
    <t>客户标签</t>
  </si>
  <si>
    <t>得分</t>
  </si>
  <si>
    <t>竞争态势</t>
  </si>
  <si>
    <t>材料类别</t>
  </si>
  <si>
    <t>档位</t>
  </si>
  <si>
    <t>得分区间</t>
  </si>
  <si>
    <t>资源策略</t>
  </si>
  <si>
    <t>项目接触</t>
  </si>
  <si>
    <t>立项接触/信息获取/首次报价</t>
  </si>
  <si>
    <t>吉利系/战略客户项目</t>
  </si>
  <si>
    <t>已定点我司/独供</t>
  </si>
  <si>
    <t>特种高价值(长玻纤/高增强/阻燃等)</t>
  </si>
  <si>
    <t>A</t>
  </si>
  <si>
    <t>≥80</t>
  </si>
  <si>
    <t>重点攻坚：样品/测试/商务资源优先投放，双周复盘</t>
  </si>
  <si>
    <t>送样/试料</t>
  </si>
  <si>
    <t>寄样、试模、小批试样</t>
  </si>
  <si>
    <t>主机厂T1重要客户</t>
  </si>
  <si>
    <t>有竞争未定点</t>
  </si>
  <si>
    <t>常规增强改性</t>
  </si>
  <si>
    <t>B</t>
  </si>
  <si>
    <t>65-79</t>
  </si>
  <si>
    <t>重点跟进：定期跟踪，解决卡点推进定点</t>
  </si>
  <si>
    <t>测试/认证</t>
  </si>
  <si>
    <t>客户测试、第三方认证、合格性验证</t>
  </si>
  <si>
    <t>主机厂T1普通客户</t>
  </si>
  <si>
    <t>竞争激烈暂无优势</t>
  </si>
  <si>
    <t>低附加值通用料</t>
  </si>
  <si>
    <t>C</t>
  </si>
  <si>
    <t>45-64</t>
  </si>
  <si>
    <t>常规推进：按流程送样测试，保持联系</t>
  </si>
  <si>
    <t>定点/小批</t>
  </si>
  <si>
    <t>定点通知、小批量供货</t>
  </si>
  <si>
    <t>非汽车客户</t>
  </si>
  <si>
    <t>已失单/无望</t>
  </si>
  <si>
    <t>D</t>
  </si>
  <si>
    <t>&lt;45</t>
  </si>
  <si>
    <t>观察暂缓：记录线索，不投入主动资源</t>
  </si>
  <si>
    <t>量产</t>
  </si>
  <si>
    <t>批量供货、持续订单</t>
  </si>
  <si>
    <t>权重说明：总分=阶段得分30 + 客户价值30 + 竞争态势20 + 材料价值20，合计100分；可直接修改各得分表数值，项目进度表评分自动联动重算。</t>
  </si>
  <si>
    <t>改性材料行业项目组合最优方案（汽车主机厂 + 非汽车客户）</t>
  </si>
  <si>
    <t>一、方案核心结论</t>
  </si>
  <si>
    <t>1. 评分口径：优先级得分 = 项目阶段(30) + 客户战略价值(30) + 竞争态势(20) + 材料价值(20)，满分100，权重在“评分模型”表可调。</t>
  </si>
  <si>
    <t>2. 档位决策：A(≥80)重点攻坚 → B(65-79)重点跟进 → C(45-64)常规推进 → D(&lt;45)观察暂缓；资源按档位梯度投放，避免平均用力。</t>
  </si>
  <si>
    <t>3. 吉利系专项红利：主机厂已不再参与材料指定，供应商备齐对应材料报告即可参与项目——把已定点项目做成样板背书，凭报告主动跟进其他客户的吉利项目，新项目总成一律参与报价。</t>
  </si>
  <si>
    <t>二、A档（≥80，重点攻坚）——近期拿单主力，投入50%销售资源</t>
  </si>
  <si>
    <t>1. 样品/测试资源优先：寄样、第三方测试、认证费用第一时间到位，压缩定点周期。</t>
  </si>
  <si>
    <t>2. 商务攻关：高层对接客户采购与技术，锁定量纲与价格条款，双周复盘进度。</t>
  </si>
  <si>
    <t>3. 目标动作：从“定点”推进到“量产”，锁定首批订单与月度供货计划。</t>
  </si>
  <si>
    <t>三、B档（65-79，重点跟进）——中期增量来源，投入30%资源</t>
  </si>
  <si>
    <t>1. 卡点清零：逐项目列出卡点（等待反馈/测试中/商务谈判），定人定时限推动。</t>
  </si>
  <si>
    <t>2. 报告武器化：对吉利系项目，按新规则备齐对应材料报告主动敲门，不等待主机厂指定。</t>
  </si>
  <si>
    <t>3. 每周一更新进度、每周三协调卡点、每周五输出周报。</t>
  </si>
  <si>
    <t>四、C/D档（常规推进 / 观察暂缓）——长尾储备，投入20%资源</t>
  </si>
  <si>
    <t>1. C档按标准流程送样测试、保持联系，出现定点信号即升级处理。</t>
  </si>
  <si>
    <t>2. D档只记录线索，不投入主动资源，定期回访即可。</t>
  </si>
  <si>
    <t>五、非汽车客户打法</t>
  </si>
  <si>
    <t>1. 用主机厂A/B档样板（定点/量产记录）做资质背书，切入3C、婴童、工业等中高端场景，提升报价话语权。</t>
  </si>
  <si>
    <t>2. 非汽车客户重在“量稳利高 + 回款管理”：老客户保供稳量，新客户先小批验证再放量。</t>
  </si>
  <si>
    <t>3. 风险优先：回款异常客户（如华域项目）每周对账催收，供货与回款挂钩管理。</t>
  </si>
  <si>
    <t>六、周度推进节奏（模板）</t>
  </si>
  <si>
    <t>周一：项目进度表更新（H/J/K/L四列）→ 得分档位自动重算；周三：卡点协调会（样品/测试/商务）；周五：周报 + 回款对账。</t>
  </si>
  <si>
    <t>七、数据维护要求</t>
  </si>
  <si>
    <t>每周至少更新一次“项目进度表”：阶段代码、客户战略价值、竞争态势、材料价值四列为必维护项；得分与档位由公式自动计算，不手工改。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</si>
</sst>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3"/>
      <color rgb="FFFFFFFF"/>
      <name val="微软雅黑"/>
      <charset val="134"/>
    </font>
    <font>
      <b/>
      <sz val="11"/>
      <color rgb="FF1F3864"/>
      <name val="微软雅黑"/>
      <charset val="134"/>
    </font>
    <font>
      <sz val="10"/>
      <color rgb="FF000000"/>
      <name val="微软雅黑"/>
      <charset val="134"/>
    </font>
    <font>
      <b/>
      <sz val="10"/>
      <color rgb="FF1F3864"/>
      <name val="微软雅黑"/>
      <charset val="134"/>
    </font>
    <font>
      <b/>
      <sz val="9"/>
      <color rgb="FF1F3864"/>
      <name val="微软雅黑"/>
      <charset val="134"/>
    </font>
    <font>
      <sz val="11"/>
      <color rgb="FF000000"/>
      <name val="Calibri"/>
      <charset val="134"/>
    </font>
    <font>
      <sz val="9"/>
      <color rgb="FF000000"/>
      <name val="微软雅黑"/>
      <charset val="134"/>
    </font>
    <font>
      <sz val="9"/>
      <color rgb="FF7F6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33C9A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B8C7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666750</xdr:colOff>
      <xdr:row>1</xdr:row>
      <xdr:rowOff>95250</xdr:rowOff>
    </xdr:to>
    <xdr:pic>
      <xdr:nvPicPr>
        <xdr:cNvPr id="2" name="Picture 2" descr="aJmdpf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257300" cy="40640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666750</xdr:colOff>
      <xdr:row>1</xdr:row>
      <xdr:rowOff>95250</xdr:rowOff>
    </xdr:to>
    <xdr:pic>
      <xdr:nvPicPr>
        <xdr:cNvPr id="2" name="Picture 2" descr="ddjfUZ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257300" cy="40640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5"/>
  <sheetViews>
    <sheetView tabSelected="1" workbookViewId="0">
      <pane ySplit="2" topLeftCell="A3" activePane="bottomLeft" state="frozen"/>
      <selection/>
      <selection pane="bottomLeft" activeCell="K18" sqref="K18"/>
    </sheetView>
  </sheetViews>
  <sheetFormatPr defaultColWidth="8" defaultRowHeight="14.25"/>
  <cols>
    <col min="1" max="1" width="10" customWidth="1"/>
    <col min="2" max="2" width="22" customWidth="1"/>
    <col min="3" max="3" width="16" customWidth="1"/>
    <col min="4" max="4" width="12" customWidth="1"/>
    <col min="5" max="5" width="9.625" customWidth="1"/>
    <col min="6" max="6" width="8" customWidth="1"/>
    <col min="7" max="7" width="10" customWidth="1"/>
    <col min="8" max="8" width="20" customWidth="1"/>
    <col min="9" max="9" width="12" customWidth="1"/>
    <col min="10" max="10" width="10" customWidth="1"/>
    <col min="11" max="11" width="32" customWidth="1"/>
    <col min="12" max="12" width="10" customWidth="1"/>
    <col min="13" max="13" width="10" customWidth="1"/>
  </cols>
  <sheetData>
    <row r="1" ht="26" customHeight="1" spans="1:1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0"/>
    </row>
    <row r="2" ht="33" spans="1:13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</row>
    <row r="3" ht="16.5" spans="1:1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ht="16.5" spans="1:1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ht="16.5" spans="1:1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ht="16.5" spans="1:1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ht="16.5" spans="1:1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8" ht="20" customHeight="1" spans="1:13">
      <c r="A8" s="14"/>
      <c r="B8" s="14"/>
      <c r="C8" s="14"/>
      <c r="D8" s="14"/>
      <c r="E8" s="14"/>
      <c r="F8" s="14"/>
      <c r="G8" s="14"/>
      <c r="H8" s="14"/>
      <c r="I8" s="14"/>
      <c r="J8" s="14" t="str">
        <f>IF(I8="","",VLOOKUP(I8,评分模型!$A$5:$D$9,2,FALSE))</f>
        <v/>
      </c>
      <c r="K8" s="14"/>
      <c r="L8" s="14"/>
      <c r="M8" s="14"/>
    </row>
    <row r="9" ht="20" customHeight="1" spans="1:13">
      <c r="A9" s="3"/>
      <c r="B9" s="3"/>
      <c r="C9" s="3"/>
      <c r="D9" s="3"/>
      <c r="E9" s="3"/>
      <c r="F9" s="3"/>
      <c r="G9" s="3"/>
      <c r="H9" s="3"/>
      <c r="I9" s="3"/>
      <c r="J9" s="3" t="str">
        <f>IF(I9="","",VLOOKUP(I9,评分模型!$A$5:$D$9,2,FALSE))</f>
        <v/>
      </c>
      <c r="K9" s="3"/>
      <c r="L9" s="3"/>
      <c r="M9" s="3"/>
    </row>
    <row r="10" ht="20" customHeight="1" spans="1:13">
      <c r="A10" s="3"/>
      <c r="B10" s="3"/>
      <c r="C10" s="3"/>
      <c r="D10" s="3"/>
      <c r="E10" s="3"/>
      <c r="F10" s="3"/>
      <c r="G10" s="3"/>
      <c r="H10" s="3"/>
      <c r="I10" s="3"/>
      <c r="J10" s="3" t="str">
        <f>IF(I10="","",VLOOKUP(I10,评分模型!$A$5:$D$9,2,FALSE))</f>
        <v/>
      </c>
      <c r="K10" s="3"/>
      <c r="L10" s="3"/>
      <c r="M10" s="3"/>
    </row>
    <row r="11" ht="20" customHeight="1" spans="1:13">
      <c r="A11" s="3"/>
      <c r="B11" s="3"/>
      <c r="C11" s="3"/>
      <c r="D11" s="3"/>
      <c r="E11" s="3"/>
      <c r="F11" s="3"/>
      <c r="G11" s="3"/>
      <c r="H11" s="3"/>
      <c r="I11" s="3"/>
      <c r="J11" s="3" t="str">
        <f>IF(I11="","",VLOOKUP(I11,评分模型!$A$5:$D$9,2,FALSE))</f>
        <v/>
      </c>
      <c r="K11" s="3"/>
      <c r="L11" s="3"/>
      <c r="M11" s="3"/>
    </row>
    <row r="12" ht="20" customHeight="1" spans="1:13">
      <c r="A12" s="3"/>
      <c r="B12" s="3"/>
      <c r="C12" s="3"/>
      <c r="D12" s="3"/>
      <c r="E12" s="3"/>
      <c r="F12" s="3"/>
      <c r="G12" s="3"/>
      <c r="H12" s="3"/>
      <c r="I12" s="3"/>
      <c r="J12" s="3" t="str">
        <f>IF(I12="","",VLOOKUP(I12,评分模型!$A$5:$D$9,2,FALSE))</f>
        <v/>
      </c>
      <c r="K12" s="3"/>
      <c r="L12" s="3"/>
      <c r="M12" s="3"/>
    </row>
    <row r="13" ht="20" customHeight="1" spans="1:13">
      <c r="A13" s="3"/>
      <c r="B13" s="3"/>
      <c r="C13" s="3"/>
      <c r="D13" s="3"/>
      <c r="E13" s="3"/>
      <c r="F13" s="3"/>
      <c r="G13" s="3"/>
      <c r="H13" s="3"/>
      <c r="I13" s="3"/>
      <c r="J13" s="3" t="str">
        <f>IF(I13="","",VLOOKUP(I13,评分模型!$A$5:$D$9,2,FALSE))</f>
        <v/>
      </c>
      <c r="K13" s="3"/>
      <c r="L13" s="3"/>
      <c r="M13" s="3"/>
    </row>
    <row r="14" ht="20" customHeight="1" spans="1:13">
      <c r="A14" s="3"/>
      <c r="B14" s="3"/>
      <c r="C14" s="3"/>
      <c r="D14" s="3"/>
      <c r="E14" s="3"/>
      <c r="F14" s="3"/>
      <c r="G14" s="3"/>
      <c r="H14" s="3"/>
      <c r="I14" s="3"/>
      <c r="J14" s="3" t="str">
        <f>IF(I14="","",VLOOKUP(I14,评分模型!$A$5:$D$9,2,FALSE))</f>
        <v/>
      </c>
      <c r="K14" s="3"/>
      <c r="L14" s="3"/>
      <c r="M14" s="3"/>
    </row>
    <row r="15" ht="20" customHeight="1" spans="1:13">
      <c r="A15" s="3"/>
      <c r="B15" s="3"/>
      <c r="C15" s="3"/>
      <c r="D15" s="3"/>
      <c r="E15" s="3"/>
      <c r="F15" s="3"/>
      <c r="G15" s="3"/>
      <c r="H15" s="3"/>
      <c r="I15" s="3"/>
      <c r="J15" s="3" t="str">
        <f>IF(I15="","",VLOOKUP(I15,评分模型!$A$5:$D$9,2,FALSE))</f>
        <v/>
      </c>
      <c r="K15" s="3"/>
      <c r="L15" s="3"/>
      <c r="M15" s="3"/>
    </row>
  </sheetData>
  <mergeCells count="1">
    <mergeCell ref="A1:L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11"/>
  <sheetViews>
    <sheetView workbookViewId="0">
      <selection activeCell="A1" sqref="A1:Q1"/>
    </sheetView>
  </sheetViews>
  <sheetFormatPr defaultColWidth="8" defaultRowHeight="14.25"/>
  <cols>
    <col min="1" max="1" width="8" customWidth="1"/>
    <col min="2" max="2" width="14" customWidth="1"/>
    <col min="3" max="3" width="34" customWidth="1"/>
    <col min="4" max="4" width="9" customWidth="1"/>
    <col min="5" max="5" width="2" customWidth="1"/>
    <col min="6" max="6" width="22" customWidth="1"/>
    <col min="7" max="7" width="8" customWidth="1"/>
    <col min="8" max="8" width="2" customWidth="1"/>
    <col min="9" max="9" width="22" customWidth="1"/>
    <col min="10" max="10" width="8" customWidth="1"/>
    <col min="11" max="11" width="2" customWidth="1"/>
    <col min="12" max="12" width="32" customWidth="1"/>
    <col min="13" max="13" width="8" customWidth="1"/>
    <col min="14" max="14" width="2" customWidth="1"/>
    <col min="15" max="15" width="6" customWidth="1"/>
    <col min="16" max="16" width="10" customWidth="1"/>
    <col min="17" max="17" width="34" customWidth="1"/>
  </cols>
  <sheetData>
    <row r="1" ht="26" customHeight="1" spans="1:17">
      <c r="A1" s="1" t="s">
        <v>14</v>
      </c>
    </row>
    <row r="3" ht="16.5" spans="1:17">
      <c r="A3" s="4" t="s">
        <v>15</v>
      </c>
      <c r="F3" s="4" t="s">
        <v>16</v>
      </c>
      <c r="I3" s="4" t="s">
        <v>17</v>
      </c>
      <c r="L3" s="4" t="s">
        <v>18</v>
      </c>
      <c r="O3" s="4" t="s">
        <v>19</v>
      </c>
    </row>
    <row r="4" ht="15" spans="1:17">
      <c r="A4" s="5" t="s">
        <v>20</v>
      </c>
      <c r="B4" s="5" t="s">
        <v>21</v>
      </c>
      <c r="C4" s="5" t="s">
        <v>22</v>
      </c>
      <c r="D4" s="5" t="s">
        <v>23</v>
      </c>
      <c r="E4" s="6"/>
      <c r="F4" s="5" t="s">
        <v>24</v>
      </c>
      <c r="G4" s="5" t="s">
        <v>25</v>
      </c>
      <c r="H4" s="6"/>
      <c r="I4" s="5" t="s">
        <v>26</v>
      </c>
      <c r="J4" s="5" t="s">
        <v>25</v>
      </c>
      <c r="K4" s="6"/>
      <c r="L4" s="5" t="s">
        <v>27</v>
      </c>
      <c r="M4" s="5" t="s">
        <v>25</v>
      </c>
      <c r="N4" s="6"/>
      <c r="O4" s="5" t="s">
        <v>28</v>
      </c>
      <c r="P4" s="5" t="s">
        <v>29</v>
      </c>
      <c r="Q4" s="5" t="s">
        <v>30</v>
      </c>
    </row>
    <row r="5" ht="28.5" spans="1:17">
      <c r="A5" s="7">
        <v>1</v>
      </c>
      <c r="B5" s="7" t="s">
        <v>31</v>
      </c>
      <c r="C5" s="7" t="s">
        <v>32</v>
      </c>
      <c r="D5" s="7">
        <v>6</v>
      </c>
      <c r="E5" s="6"/>
      <c r="F5" s="7" t="s">
        <v>33</v>
      </c>
      <c r="G5" s="7">
        <v>30</v>
      </c>
      <c r="H5" s="6"/>
      <c r="I5" s="7" t="s">
        <v>34</v>
      </c>
      <c r="J5" s="7">
        <v>20</v>
      </c>
      <c r="K5" s="6"/>
      <c r="L5" s="7" t="s">
        <v>35</v>
      </c>
      <c r="M5" s="7">
        <v>20</v>
      </c>
      <c r="N5" s="6"/>
      <c r="O5" s="7" t="s">
        <v>36</v>
      </c>
      <c r="P5" s="7" t="s">
        <v>37</v>
      </c>
      <c r="Q5" s="7" t="s">
        <v>38</v>
      </c>
    </row>
    <row r="6" ht="15" spans="1:17">
      <c r="A6" s="7">
        <v>2</v>
      </c>
      <c r="B6" s="7" t="s">
        <v>39</v>
      </c>
      <c r="C6" s="7" t="s">
        <v>40</v>
      </c>
      <c r="D6" s="7">
        <v>12</v>
      </c>
      <c r="E6" s="6"/>
      <c r="F6" s="7" t="s">
        <v>41</v>
      </c>
      <c r="G6" s="7">
        <v>22</v>
      </c>
      <c r="H6" s="6"/>
      <c r="I6" s="7" t="s">
        <v>42</v>
      </c>
      <c r="J6" s="7">
        <v>12</v>
      </c>
      <c r="K6" s="6"/>
      <c r="L6" s="7" t="s">
        <v>43</v>
      </c>
      <c r="M6" s="7">
        <v>12</v>
      </c>
      <c r="N6" s="6"/>
      <c r="O6" s="7" t="s">
        <v>44</v>
      </c>
      <c r="P6" s="7" t="s">
        <v>45</v>
      </c>
      <c r="Q6" s="7" t="s">
        <v>46</v>
      </c>
    </row>
    <row r="7" ht="15" spans="1:17">
      <c r="A7" s="7">
        <v>3</v>
      </c>
      <c r="B7" s="7" t="s">
        <v>47</v>
      </c>
      <c r="C7" s="7" t="s">
        <v>48</v>
      </c>
      <c r="D7" s="7">
        <v>18</v>
      </c>
      <c r="E7" s="6"/>
      <c r="F7" s="7" t="s">
        <v>49</v>
      </c>
      <c r="G7" s="7">
        <v>15</v>
      </c>
      <c r="H7" s="6"/>
      <c r="I7" s="7" t="s">
        <v>50</v>
      </c>
      <c r="J7" s="7">
        <v>8</v>
      </c>
      <c r="K7" s="6"/>
      <c r="L7" s="7" t="s">
        <v>51</v>
      </c>
      <c r="M7" s="7">
        <v>6</v>
      </c>
      <c r="N7" s="6"/>
      <c r="O7" s="7" t="s">
        <v>52</v>
      </c>
      <c r="P7" s="7" t="s">
        <v>53</v>
      </c>
      <c r="Q7" s="7" t="s">
        <v>54</v>
      </c>
    </row>
    <row r="8" ht="15" spans="1:17">
      <c r="A8" s="7">
        <v>4</v>
      </c>
      <c r="B8" s="7" t="s">
        <v>55</v>
      </c>
      <c r="C8" s="7" t="s">
        <v>56</v>
      </c>
      <c r="D8" s="7">
        <v>24</v>
      </c>
      <c r="E8" s="6"/>
      <c r="F8" s="7" t="s">
        <v>57</v>
      </c>
      <c r="G8" s="7">
        <v>8</v>
      </c>
      <c r="H8" s="6"/>
      <c r="I8" s="7" t="s">
        <v>58</v>
      </c>
      <c r="J8" s="7">
        <v>0</v>
      </c>
      <c r="K8" s="6"/>
      <c r="L8" s="6"/>
      <c r="M8" s="6"/>
      <c r="N8" s="6"/>
      <c r="O8" s="7" t="s">
        <v>59</v>
      </c>
      <c r="P8" s="7" t="s">
        <v>60</v>
      </c>
      <c r="Q8" s="7" t="s">
        <v>61</v>
      </c>
    </row>
    <row r="9" spans="1:17">
      <c r="A9" s="7">
        <v>5</v>
      </c>
      <c r="B9" s="7" t="s">
        <v>62</v>
      </c>
      <c r="C9" s="7" t="s">
        <v>63</v>
      </c>
      <c r="D9" s="8">
        <v>30</v>
      </c>
    </row>
    <row r="11" ht="24" customHeight="1" spans="1:17">
      <c r="A11" s="9" t="s">
        <v>64</v>
      </c>
    </row>
  </sheetData>
  <mergeCells count="7">
    <mergeCell ref="A1:Q1"/>
    <mergeCell ref="A3:D3"/>
    <mergeCell ref="F3:G3"/>
    <mergeCell ref="I3:J3"/>
    <mergeCell ref="L3:M3"/>
    <mergeCell ref="O3:Q3"/>
    <mergeCell ref="A11:Q1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31"/>
  <sheetViews>
    <sheetView showGridLines="0" workbookViewId="0">
      <selection activeCell="A1" sqref="A1:H1"/>
    </sheetView>
  </sheetViews>
  <sheetFormatPr defaultColWidth="8" defaultRowHeight="14.25" outlineLevelCol="7"/>
  <cols>
    <col min="1" max="1" width="8" customWidth="1"/>
    <col min="2" max="8" width="14" customWidth="1"/>
  </cols>
  <sheetData>
    <row r="1" ht="26" customHeight="1" spans="1:1">
      <c r="A1" s="1" t="s">
        <v>65</v>
      </c>
    </row>
    <row r="3" ht="24" customHeight="1" spans="1:1">
      <c r="A3" s="2" t="s">
        <v>66</v>
      </c>
    </row>
    <row r="4" ht="20" customHeight="1" spans="1:1">
      <c r="A4" s="3" t="s">
        <v>67</v>
      </c>
    </row>
    <row r="5" ht="20" customHeight="1" spans="1:1">
      <c r="A5" s="3" t="s">
        <v>68</v>
      </c>
    </row>
    <row r="6" ht="20" customHeight="1" spans="1:1">
      <c r="A6" s="3" t="s">
        <v>69</v>
      </c>
    </row>
    <row r="8" ht="24" customHeight="1" spans="1:1">
      <c r="A8" s="2" t="s">
        <v>70</v>
      </c>
    </row>
    <row r="9" ht="20" customHeight="1" spans="1:1">
      <c r="A9" s="3" t="s">
        <v>71</v>
      </c>
    </row>
    <row r="10" ht="20" customHeight="1" spans="1:1">
      <c r="A10" s="3" t="s">
        <v>72</v>
      </c>
    </row>
    <row r="11" ht="20" customHeight="1" spans="1:1">
      <c r="A11" s="3" t="s">
        <v>73</v>
      </c>
    </row>
    <row r="13" ht="24" customHeight="1" spans="1:1">
      <c r="A13" s="2" t="s">
        <v>74</v>
      </c>
    </row>
    <row r="14" ht="20" customHeight="1" spans="1:1">
      <c r="A14" s="3" t="s">
        <v>75</v>
      </c>
    </row>
    <row r="15" ht="20" customHeight="1" spans="1:1">
      <c r="A15" s="3" t="s">
        <v>76</v>
      </c>
    </row>
    <row r="16" ht="20" customHeight="1" spans="1:1">
      <c r="A16" s="3" t="s">
        <v>77</v>
      </c>
    </row>
    <row r="18" ht="24" customHeight="1" spans="1:1">
      <c r="A18" s="2" t="s">
        <v>78</v>
      </c>
    </row>
    <row r="19" ht="20" customHeight="1" spans="1:1">
      <c r="A19" s="3" t="s">
        <v>79</v>
      </c>
    </row>
    <row r="20" ht="20" customHeight="1" spans="1:1">
      <c r="A20" s="3" t="s">
        <v>80</v>
      </c>
    </row>
    <row r="22" ht="24" customHeight="1" spans="1:1">
      <c r="A22" s="2" t="s">
        <v>81</v>
      </c>
    </row>
    <row r="23" ht="20" customHeight="1" spans="1:1">
      <c r="A23" s="3" t="s">
        <v>82</v>
      </c>
    </row>
    <row r="24" ht="20" customHeight="1" spans="1:1">
      <c r="A24" s="3" t="s">
        <v>83</v>
      </c>
    </row>
    <row r="25" ht="20" customHeight="1" spans="1:1">
      <c r="A25" s="3" t="s">
        <v>84</v>
      </c>
    </row>
    <row r="27" ht="24" customHeight="1" spans="1:1">
      <c r="A27" s="2" t="s">
        <v>85</v>
      </c>
    </row>
    <row r="28" ht="20" customHeight="1" spans="1:1">
      <c r="A28" s="3" t="s">
        <v>86</v>
      </c>
    </row>
    <row r="30" ht="24" customHeight="1" spans="1:1">
      <c r="A30" s="2" t="s">
        <v>87</v>
      </c>
    </row>
    <row r="31" ht="20" customHeight="1" spans="1:1">
      <c r="A31" s="3" t="s">
        <v>88</v>
      </c>
    </row>
  </sheetData>
  <mergeCells count="24">
    <mergeCell ref="A1:H1"/>
    <mergeCell ref="A3:H3"/>
    <mergeCell ref="A4:H4"/>
    <mergeCell ref="A5:H5"/>
    <mergeCell ref="A6:H6"/>
    <mergeCell ref="A8:H8"/>
    <mergeCell ref="A9:H9"/>
    <mergeCell ref="A10:H10"/>
    <mergeCell ref="A11:H11"/>
    <mergeCell ref="A13:H13"/>
    <mergeCell ref="A14:H14"/>
    <mergeCell ref="A15:H15"/>
    <mergeCell ref="A16:H16"/>
    <mergeCell ref="A18:H18"/>
    <mergeCell ref="A19:H19"/>
    <mergeCell ref="A20:H20"/>
    <mergeCell ref="A22:H22"/>
    <mergeCell ref="A23:H23"/>
    <mergeCell ref="A24:H24"/>
    <mergeCell ref="A25:H25"/>
    <mergeCell ref="A27:H27"/>
    <mergeCell ref="A28:H28"/>
    <mergeCell ref="A30:H30"/>
    <mergeCell ref="A31:H3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项目进度表</vt:lpstr>
      <vt:lpstr>评分模型</vt:lpstr>
      <vt:lpstr>最优方案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你啊i</cp:lastModifiedBy>
  <dcterms:created xsi:type="dcterms:W3CDTF">2026-10-24T09:50:39Z</dcterms:created>
  <dcterms:modified xsi:type="dcterms:W3CDTF">2026-10-24T09:53:51Z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{"Label":"1","ContentProducer":"001191110102MACQD9K64010000","ProduceID":"7700169498434833645","ReservedCode1":"","ContentPropagator":"","PropagateID":"","ReservedCode2":""}</vt:lpwstr>
  </property>
  <property fmtid="{D5CDD505-2E9C-101B-9397-08002B2CF9AE}" pid="3" name="ICV">
    <vt:lpwstr>C2BFBCC304274D61818386355C834A90_13</vt:lpwstr>
  </property>
  <property fmtid="{D5CDD505-2E9C-101B-9397-08002B2CF9AE}" pid="4" name="KSOProductBuildVer">
    <vt:lpwstr>2052-12.1.0.29161</vt:lpwstr>
  </property>
  <property fmtid="{D5CDD505-2E9C-101B-9397-08002B2CF9AE}" pid="5" name="CalculationRule">
    <vt:i4>0</vt:i4>
  </property>
</Properties>
</file>